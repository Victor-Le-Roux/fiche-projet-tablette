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mla\Desktop\POLE COMMUNICATION\"/>
    </mc:Choice>
  </mc:AlternateContent>
  <xr:revisionPtr revIDLastSave="0" documentId="13_ncr:1_{40A74BC6-B723-4EE2-B426-8BA5F17E47D3}" xr6:coauthVersionLast="47" xr6:coauthVersionMax="47" xr10:uidLastSave="{00000000-0000-0000-0000-000000000000}"/>
  <bookViews>
    <workbookView xWindow="-120" yWindow="-120" windowWidth="29040" windowHeight="15720" xr2:uid="{5822FE5E-8AD2-4647-AB6E-E7B3D44BE308}"/>
  </bookViews>
  <sheets>
    <sheet name="Feuil1" sheetId="1" r:id="rId1"/>
  </sheets>
  <definedNames>
    <definedName name="_xlnm.Print_Area" localSheetId="0">Feuil1!$B$1:$J$69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D8" i="1"/>
  <c r="J69" i="1"/>
  <c r="I69" i="1"/>
  <c r="H61" i="1"/>
  <c r="H62" i="1"/>
  <c r="H63" i="1"/>
  <c r="H64" i="1"/>
  <c r="H58" i="1"/>
  <c r="H59" i="1"/>
  <c r="H60" i="1"/>
  <c r="H65" i="1"/>
  <c r="H66" i="1"/>
  <c r="H67" i="1"/>
  <c r="H68" i="1"/>
  <c r="H69" i="1" l="1"/>
  <c r="D9" i="1" s="1"/>
  <c r="E10" i="1" l="1"/>
  <c r="D10" i="1"/>
</calcChain>
</file>

<file path=xl/sharedStrings.xml><?xml version="1.0" encoding="utf-8"?>
<sst xmlns="http://schemas.openxmlformats.org/spreadsheetml/2006/main" count="73" uniqueCount="67">
  <si>
    <t>FICHE PROJET</t>
  </si>
  <si>
    <t>Dès validation, je m'engage à diffuser mon projet à l'ensemble des gemmeurs via le réseau Facebook du groupe privé</t>
  </si>
  <si>
    <t>(valable 3 mois)</t>
  </si>
  <si>
    <t>DATE</t>
  </si>
  <si>
    <t>NOM DE L'ACTIVITÉ</t>
  </si>
  <si>
    <t>SÉJOUR</t>
  </si>
  <si>
    <t>ALIMENTATION (courses, restauration)</t>
  </si>
  <si>
    <t>MISSION pour le GEM</t>
  </si>
  <si>
    <t>CUISINE</t>
  </si>
  <si>
    <t>CATÉGORIE DE L'ACTIVITÉ</t>
  </si>
  <si>
    <t>NOMBRE DE PARTICIPANTS</t>
  </si>
  <si>
    <t>ACTIVITÉ AU LOCAL</t>
  </si>
  <si>
    <t>ACTIVITÉ HORS DU LOCAL</t>
  </si>
  <si>
    <t>TRANSPORT</t>
  </si>
  <si>
    <t>TRAIN</t>
  </si>
  <si>
    <t>AVION</t>
  </si>
  <si>
    <t>LOCATION VÉHICULE</t>
  </si>
  <si>
    <t>COUCHAGE</t>
  </si>
  <si>
    <t>REPAS</t>
  </si>
  <si>
    <t>NOMBRE</t>
  </si>
  <si>
    <t>TOTAL</t>
  </si>
  <si>
    <t>BUT DE CETTE ACTIVITÉ</t>
  </si>
  <si>
    <t>MONTÉE EN COMPÉTENCE</t>
  </si>
  <si>
    <t>AMUSEMENT</t>
  </si>
  <si>
    <t>SE SENTIR MIEUX</t>
  </si>
  <si>
    <t>INTERACTION SOCIALE</t>
  </si>
  <si>
    <t>MOTRICITÉ</t>
  </si>
  <si>
    <t>BIEN-ÊTRE / SANTÉ (sophro, massage etc)</t>
  </si>
  <si>
    <t>SORTIE FESTIVE</t>
  </si>
  <si>
    <t>PRISE EN CHARGE KMS</t>
  </si>
  <si>
    <t>Autre</t>
  </si>
  <si>
    <t>LIEU DE L'ACTIVITÉ, OÙ ?</t>
  </si>
  <si>
    <t>PÉAGE</t>
  </si>
  <si>
    <t>HÔTEL/GÎTE</t>
  </si>
  <si>
    <t>MATÉRIEL</t>
  </si>
  <si>
    <t>BILLET (SPECTACLE, ACTIVITÉ, etc.)</t>
  </si>
  <si>
    <t>O/N</t>
  </si>
  <si>
    <t>CULTURE (spectacle, cinéma, expositions etc)</t>
  </si>
  <si>
    <t>SPORT (marche, escalade, trampoline, bowling etc)</t>
  </si>
  <si>
    <t>ACHAT MATÉRIEL</t>
  </si>
  <si>
    <t>COMBIEN DE FOIS SUR 3 MOIS</t>
  </si>
  <si>
    <t>Je m'engage à fournir les justificatifs de dépenses que j'ai effectuées pendant l'activité</t>
  </si>
  <si>
    <t>TAXI/MÉTRO/BUS/TRAMWAY</t>
  </si>
  <si>
    <t>J'AI BESOIN DE : (pour une activité)</t>
  </si>
  <si>
    <t>COÛT POUR 3 MOIS</t>
  </si>
  <si>
    <t>SIGNATURE</t>
  </si>
  <si>
    <t>NOM</t>
  </si>
  <si>
    <t xml:space="preserve">NOM DU/DES ORGANISATEUR(S) </t>
  </si>
  <si>
    <t>Zones grises à ne pas remplir par l'adhérent</t>
  </si>
  <si>
    <t>COÛT ESTIMATIF</t>
  </si>
  <si>
    <t>COÛT RÉEL</t>
  </si>
  <si>
    <t xml:space="preserve">DATE </t>
  </si>
  <si>
    <t>SIGNATURE(S)</t>
  </si>
  <si>
    <t>VALABLE JUSQU'AU</t>
  </si>
  <si>
    <t>ACTIVITÉ ACCESSIBLE À TOUS (oui/non)</t>
  </si>
  <si>
    <t xml:space="preserve">AUTRES </t>
  </si>
  <si>
    <t>Commentaires</t>
  </si>
  <si>
    <t>Noms des participants</t>
  </si>
  <si>
    <t>CASE À COCHER</t>
  </si>
  <si>
    <t>réponse</t>
  </si>
  <si>
    <t>ne pas remplir par l'adhérent</t>
  </si>
  <si>
    <t>Autres (à compléter)</t>
  </si>
  <si>
    <t>Autres (à compléter)</t>
  </si>
  <si>
    <t>1ère DATE DE L'ACTIVITÉ</t>
  </si>
  <si>
    <t>x</t>
  </si>
  <si>
    <t>éveil à la culture japonaise/mieux s'alimenter</t>
  </si>
  <si>
    <t>Ex. taxes de séjour hôtel/boisson</t>
  </si>
  <si>
    <t>déj./dîner 23 € Le Havre / 40 € hors Le Havre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</si>
</sst>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,##0.00\ &quot;€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EAEAEA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4F88"/>
      <name val="Calibri"/>
      <family val="2"/>
      <scheme val="minor"/>
    </font>
    <font>
      <b/>
      <sz val="11"/>
      <color rgb="FFEAEAEA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8"/>
      <color rgb="FFEAEAE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367D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11"/>
      <color rgb="FF004F8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4D4D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2" xfId="0" applyBorder="1"/>
    <xf numFmtId="0" fontId="0" fillId="3" borderId="8" xfId="0" applyFill="1" applyBorder="1"/>
    <xf numFmtId="0" fontId="0" fillId="3" borderId="2" xfId="0" applyFill="1" applyBorder="1"/>
    <xf numFmtId="0" fontId="0" fillId="3" borderId="0" xfId="0" applyFill="1"/>
    <xf numFmtId="0" fontId="0" fillId="3" borderId="10" xfId="0" applyFill="1" applyBorder="1"/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0" fontId="0" fillId="3" borderId="12" xfId="0" applyFill="1" applyBorder="1"/>
    <xf numFmtId="0" fontId="0" fillId="3" borderId="3" xfId="0" applyFill="1" applyBorder="1"/>
    <xf numFmtId="0" fontId="1" fillId="3" borderId="11" xfId="0" applyFont="1" applyFill="1" applyBorder="1"/>
    <xf numFmtId="0" fontId="1" fillId="3" borderId="5" xfId="0" applyFont="1" applyFill="1" applyBorder="1"/>
    <xf numFmtId="0" fontId="0" fillId="4" borderId="0" xfId="0" applyFill="1"/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/>
    </xf>
    <xf numFmtId="164" fontId="4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11" fillId="5" borderId="2" xfId="0" applyFont="1" applyFill="1" applyBorder="1" applyAlignment="1">
      <alignment horizontal="center" vertical="center" wrapText="1"/>
    </xf>
    <xf numFmtId="165" fontId="4" fillId="6" borderId="2" xfId="0" applyNumberFormat="1" applyFont="1" applyFill="1" applyBorder="1"/>
    <xf numFmtId="165" fontId="0" fillId="3" borderId="2" xfId="0" applyNumberFormat="1" applyFill="1" applyBorder="1"/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5" fillId="0" borderId="0" xfId="0" applyFont="1" applyAlignment="1">
      <alignment vertical="center"/>
    </xf>
    <xf numFmtId="0" fontId="0" fillId="0" borderId="5" xfId="0" applyBorder="1"/>
    <xf numFmtId="0" fontId="0" fillId="7" borderId="2" xfId="0" applyFill="1" applyBorder="1"/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" fillId="3" borderId="7" xfId="0" applyFont="1" applyFill="1" applyBorder="1"/>
    <xf numFmtId="0" fontId="1" fillId="3" borderId="16" xfId="0" applyFont="1" applyFill="1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applyBorder="1"/>
    <xf numFmtId="0" fontId="10" fillId="3" borderId="18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wrapText="1"/>
    </xf>
    <xf numFmtId="0" fontId="1" fillId="3" borderId="0" xfId="0" applyFont="1" applyFill="1"/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3" borderId="2" xfId="0" applyNumberFormat="1" applyFont="1" applyFill="1" applyBorder="1"/>
    <xf numFmtId="0" fontId="16" fillId="3" borderId="13" xfId="0" applyFont="1" applyFill="1" applyBorder="1" applyAlignment="1">
      <alignment vertical="center"/>
    </xf>
    <xf numFmtId="0" fontId="17" fillId="0" borderId="15" xfId="0" applyFont="1" applyBorder="1"/>
    <xf numFmtId="0" fontId="4" fillId="0" borderId="15" xfId="0" applyFont="1" applyBorder="1"/>
    <xf numFmtId="14" fontId="4" fillId="0" borderId="0" xfId="0" applyNumberFormat="1" applyFont="1"/>
    <xf numFmtId="0" fontId="4" fillId="0" borderId="0" xfId="0" applyFont="1"/>
    <xf numFmtId="0" fontId="5" fillId="2" borderId="11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5" fillId="3" borderId="9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3" borderId="6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5" fontId="10" fillId="3" borderId="3" xfId="0" applyNumberFormat="1" applyFont="1" applyFill="1" applyBorder="1" applyAlignment="1">
      <alignment horizontal="center"/>
    </xf>
    <xf numFmtId="165" fontId="10" fillId="3" borderId="4" xfId="0" applyNumberFormat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4" fillId="0" borderId="19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3" fillId="0" borderId="0" xfId="0" applyFont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0</xdr:row>
      <xdr:rowOff>0</xdr:rowOff>
    </xdr:from>
    <xdr:to>
      <xdr:col>2</xdr:col>
      <xdr:colOff>647700</xdr:colOff>
      <xdr:row>5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94BD333-0D0D-B934-C960-F21BF387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0"/>
          <a:ext cx="809624" cy="809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BEF3-6239-4A55-8E96-D680B836E73D}">
  <sheetPr>
    <pageSetUpPr fitToPage="1"/>
  </sheetPr>
  <dimension ref="B1:J72"/>
  <sheetViews>
    <sheetView tabSelected="1" topLeftCell="A43" workbookViewId="0">
      <selection activeCell="E56" sqref="E56"/>
    </sheetView>
  </sheetViews>
  <sheetFormatPr baseColWidth="10" defaultRowHeight="15" x14ac:dyDescent="0.25"/>
  <cols>
    <col min="2" max="2" width="6" customWidth="1"/>
    <col min="4" max="4" width="14.7109375" customWidth="1"/>
    <col min="5" max="5" width="15.140625" bestFit="1" customWidth="1"/>
    <col min="7" max="7" width="12.140625" customWidth="1"/>
    <col min="8" max="8" width="12.5703125" customWidth="1"/>
    <col min="9" max="9" width="14" bestFit="1" customWidth="1"/>
    <col min="10" max="10" width="14.140625" customWidth="1"/>
  </cols>
  <sheetData>
    <row r="1" spans="2:10" ht="15" customHeight="1" x14ac:dyDescent="0.25">
      <c r="D1" s="68" t="s">
        <v>0</v>
      </c>
      <c r="E1" s="68"/>
      <c r="F1" s="68"/>
      <c r="G1" s="68"/>
      <c r="H1" s="68"/>
      <c r="I1" s="68"/>
    </row>
    <row r="2" spans="2:10" x14ac:dyDescent="0.25">
      <c r="D2" s="68"/>
      <c r="E2" s="68"/>
      <c r="F2" s="68"/>
      <c r="G2" s="68"/>
      <c r="H2" s="68"/>
      <c r="I2" s="68"/>
    </row>
    <row r="3" spans="2:10" ht="3.75" customHeight="1" x14ac:dyDescent="0.25">
      <c r="D3" s="68"/>
      <c r="E3" s="68"/>
      <c r="F3" s="68"/>
      <c r="G3" s="68"/>
      <c r="H3" s="68"/>
      <c r="I3" s="68"/>
    </row>
    <row r="4" spans="2:10" x14ac:dyDescent="0.25">
      <c r="D4" s="69" t="s">
        <v>2</v>
      </c>
      <c r="E4" s="69"/>
      <c r="F4" s="69"/>
      <c r="G4" s="69"/>
      <c r="H4" s="69"/>
      <c r="I4" s="69"/>
    </row>
    <row r="5" spans="2:10" ht="6" customHeight="1" x14ac:dyDescent="0.25">
      <c r="D5" s="69"/>
      <c r="E5" s="69"/>
      <c r="F5" s="69"/>
      <c r="G5" s="69"/>
      <c r="H5" s="69"/>
      <c r="I5" s="69"/>
    </row>
    <row r="6" spans="2:10" ht="12" customHeight="1" x14ac:dyDescent="0.25">
      <c r="D6" s="70" t="s">
        <v>48</v>
      </c>
      <c r="E6" s="71"/>
      <c r="F6" s="71"/>
      <c r="G6" s="71"/>
      <c r="H6" s="71"/>
      <c r="I6" s="71"/>
      <c r="J6" s="4"/>
    </row>
    <row r="7" spans="2:10" ht="3" customHeight="1" x14ac:dyDescent="0.25"/>
    <row r="8" spans="2:10" ht="15.75" thickBot="1" x14ac:dyDescent="0.3">
      <c r="B8" s="81" t="s">
        <v>53</v>
      </c>
      <c r="C8" s="82"/>
      <c r="D8" s="77">
        <f>C18+90</f>
        <v>90</v>
      </c>
      <c r="E8" s="78"/>
      <c r="F8" s="28" t="s">
        <v>46</v>
      </c>
      <c r="G8" s="42"/>
      <c r="H8" s="42"/>
      <c r="I8" s="41" t="s">
        <v>45</v>
      </c>
      <c r="J8" s="2"/>
    </row>
    <row r="9" spans="2:10" ht="13.5" customHeight="1" x14ac:dyDescent="0.25">
      <c r="B9" s="83" t="s">
        <v>44</v>
      </c>
      <c r="C9" s="84"/>
      <c r="D9" s="79">
        <f>H69*F48</f>
        <v>0</v>
      </c>
      <c r="E9" s="80"/>
      <c r="F9" s="21"/>
      <c r="G9" s="49"/>
      <c r="H9" s="49"/>
      <c r="I9" s="4"/>
      <c r="J9" s="5"/>
    </row>
    <row r="10" spans="2:10" ht="15" customHeight="1" thickBot="1" x14ac:dyDescent="0.3">
      <c r="B10" s="73" t="s">
        <v>59</v>
      </c>
      <c r="C10" s="74"/>
      <c r="D10" s="50" t="str">
        <f>IF(D9&lt;500,"Pas d'avis",IF(D9&lt;1000,"avis POLE",IF(D9&lt;2500,"avis BUREAU","avis CA")))</f>
        <v>Pas d'avis</v>
      </c>
      <c r="E10" s="50" t="str">
        <f>IF(D9&lt;500,"décision POLE",IF(D9&lt;1000,"décision Bureau",IF(D9&lt;2500,"décision CA","décision AG")))</f>
        <v>décision POLE</v>
      </c>
      <c r="F10" s="21" t="s">
        <v>3</v>
      </c>
      <c r="G10" s="29"/>
      <c r="H10" s="29"/>
      <c r="I10" s="4"/>
      <c r="J10" s="5"/>
    </row>
    <row r="11" spans="2:10" ht="14.25" customHeight="1" x14ac:dyDescent="0.25">
      <c r="B11" s="75" t="s">
        <v>36</v>
      </c>
      <c r="C11" s="76"/>
      <c r="D11" s="3"/>
      <c r="E11" s="9"/>
      <c r="F11" s="10"/>
      <c r="G11" s="11"/>
      <c r="H11" s="6"/>
      <c r="I11" s="7"/>
      <c r="J11" s="8"/>
    </row>
    <row r="12" spans="2:10" ht="13.5" customHeight="1" x14ac:dyDescent="0.25">
      <c r="B12" s="16"/>
      <c r="F12" s="16"/>
      <c r="G12" s="16"/>
      <c r="H12" s="17"/>
    </row>
    <row r="13" spans="2:10" s="12" customFormat="1" ht="11.25" customHeight="1" x14ac:dyDescent="0.25">
      <c r="B13" s="15" t="s">
        <v>64</v>
      </c>
      <c r="C13" s="72" t="s">
        <v>1</v>
      </c>
      <c r="D13" s="72"/>
      <c r="E13" s="72"/>
      <c r="F13" s="72"/>
      <c r="G13" s="72"/>
      <c r="H13" s="72"/>
      <c r="I13" s="72"/>
      <c r="J13" s="72"/>
    </row>
    <row r="14" spans="2:10" s="12" customFormat="1" ht="12.75" customHeight="1" x14ac:dyDescent="0.25">
      <c r="B14" s="15" t="s">
        <v>64</v>
      </c>
      <c r="C14" s="72" t="s">
        <v>41</v>
      </c>
      <c r="D14" s="72"/>
      <c r="E14" s="72"/>
      <c r="F14" s="72"/>
      <c r="G14" s="72"/>
      <c r="H14" s="72"/>
      <c r="I14" s="72"/>
      <c r="J14" s="72"/>
    </row>
    <row r="15" spans="2:10" s="12" customFormat="1" ht="3.75" customHeight="1" x14ac:dyDescent="0.25"/>
    <row r="16" spans="2:10" s="12" customFormat="1" ht="3.75" customHeight="1" x14ac:dyDescent="0.25"/>
    <row r="17" spans="2:10" ht="18.75" customHeight="1" x14ac:dyDescent="0.25">
      <c r="B17" s="61" t="s">
        <v>47</v>
      </c>
      <c r="C17" s="61"/>
      <c r="D17" s="61"/>
      <c r="E17" s="55"/>
      <c r="F17" s="54"/>
      <c r="G17" s="54"/>
      <c r="H17" s="16" t="s">
        <v>52</v>
      </c>
    </row>
    <row r="18" spans="2:10" x14ac:dyDescent="0.25">
      <c r="B18" s="16" t="s">
        <v>51</v>
      </c>
      <c r="C18" s="56"/>
      <c r="D18" s="57"/>
      <c r="H18" s="85"/>
      <c r="I18" s="86"/>
      <c r="J18" s="87"/>
    </row>
    <row r="19" spans="2:10" ht="5.25" customHeight="1" x14ac:dyDescent="0.25">
      <c r="H19" s="88"/>
      <c r="I19" s="89"/>
      <c r="J19" s="90"/>
    </row>
    <row r="20" spans="2:10" ht="30.75" customHeight="1" x14ac:dyDescent="0.25">
      <c r="B20" s="62" t="s">
        <v>4</v>
      </c>
      <c r="C20" s="63"/>
      <c r="D20" s="64"/>
      <c r="E20" s="103"/>
      <c r="F20" s="104"/>
      <c r="G20" s="105"/>
      <c r="H20" s="88"/>
      <c r="I20" s="89"/>
      <c r="J20" s="90"/>
    </row>
    <row r="21" spans="2:10" ht="4.5" customHeight="1" x14ac:dyDescent="0.25">
      <c r="H21" s="91"/>
      <c r="I21" s="92"/>
      <c r="J21" s="93"/>
    </row>
    <row r="22" spans="2:10" ht="20.25" customHeight="1" x14ac:dyDescent="0.25">
      <c r="B22" s="62" t="s">
        <v>9</v>
      </c>
      <c r="C22" s="63"/>
      <c r="D22" s="64"/>
      <c r="E22" s="36"/>
      <c r="F22" s="37"/>
      <c r="G22" s="38" t="s">
        <v>58</v>
      </c>
      <c r="H22" s="37"/>
      <c r="J22" s="37"/>
    </row>
    <row r="23" spans="2:10" x14ac:dyDescent="0.25">
      <c r="C23" s="16" t="s">
        <v>37</v>
      </c>
      <c r="G23" s="51"/>
    </row>
    <row r="24" spans="2:10" x14ac:dyDescent="0.25">
      <c r="C24" s="16" t="s">
        <v>27</v>
      </c>
      <c r="G24" s="51"/>
    </row>
    <row r="25" spans="2:10" x14ac:dyDescent="0.25">
      <c r="C25" s="16" t="s">
        <v>38</v>
      </c>
      <c r="G25" s="51"/>
    </row>
    <row r="26" spans="2:10" x14ac:dyDescent="0.25">
      <c r="C26" s="16" t="s">
        <v>28</v>
      </c>
      <c r="G26" s="51"/>
    </row>
    <row r="27" spans="2:10" x14ac:dyDescent="0.25">
      <c r="C27" s="16" t="s">
        <v>5</v>
      </c>
      <c r="G27" s="51"/>
    </row>
    <row r="28" spans="2:10" x14ac:dyDescent="0.25">
      <c r="C28" s="16" t="s">
        <v>39</v>
      </c>
      <c r="G28" s="51"/>
    </row>
    <row r="29" spans="2:10" x14ac:dyDescent="0.25">
      <c r="C29" s="16" t="s">
        <v>6</v>
      </c>
      <c r="G29" s="51"/>
    </row>
    <row r="30" spans="2:10" x14ac:dyDescent="0.25">
      <c r="C30" s="16" t="s">
        <v>7</v>
      </c>
      <c r="G30" s="51"/>
    </row>
    <row r="31" spans="2:10" x14ac:dyDescent="0.25">
      <c r="C31" s="16" t="s">
        <v>8</v>
      </c>
      <c r="G31" s="51"/>
    </row>
    <row r="32" spans="2:10" x14ac:dyDescent="0.25">
      <c r="C32" s="16" t="s">
        <v>11</v>
      </c>
      <c r="G32" s="51"/>
    </row>
    <row r="33" spans="2:10" x14ac:dyDescent="0.25">
      <c r="C33" s="16" t="s">
        <v>12</v>
      </c>
      <c r="G33" s="51"/>
    </row>
    <row r="34" spans="2:10" x14ac:dyDescent="0.25">
      <c r="C34" s="16" t="s">
        <v>54</v>
      </c>
      <c r="G34" s="1"/>
    </row>
    <row r="35" spans="2:10" ht="18.75" customHeight="1" x14ac:dyDescent="0.25">
      <c r="C35" s="16" t="s">
        <v>61</v>
      </c>
      <c r="E35" s="31"/>
      <c r="F35" s="31"/>
      <c r="G35" s="31"/>
      <c r="H35" s="31"/>
      <c r="I35" s="31"/>
      <c r="J35" s="31"/>
    </row>
    <row r="36" spans="2:10" ht="6.75" customHeight="1" x14ac:dyDescent="0.25"/>
    <row r="37" spans="2:10" ht="21.75" customHeight="1" x14ac:dyDescent="0.25">
      <c r="B37" s="62" t="s">
        <v>21</v>
      </c>
      <c r="C37" s="63"/>
      <c r="D37" s="64"/>
      <c r="E37" s="39" t="s">
        <v>58</v>
      </c>
      <c r="F37" s="40"/>
      <c r="G37" s="40"/>
      <c r="H37" s="40"/>
      <c r="I37" s="38" t="s">
        <v>58</v>
      </c>
      <c r="J37" s="40"/>
    </row>
    <row r="38" spans="2:10" x14ac:dyDescent="0.25">
      <c r="C38" s="16" t="s">
        <v>25</v>
      </c>
      <c r="E38" s="51"/>
      <c r="G38" s="16" t="s">
        <v>24</v>
      </c>
      <c r="H38" s="16"/>
      <c r="I38" s="51"/>
    </row>
    <row r="39" spans="2:10" x14ac:dyDescent="0.25">
      <c r="C39" s="16" t="s">
        <v>22</v>
      </c>
      <c r="E39" s="51"/>
      <c r="G39" s="16" t="s">
        <v>26</v>
      </c>
      <c r="H39" s="16"/>
      <c r="I39" s="51"/>
    </row>
    <row r="40" spans="2:10" x14ac:dyDescent="0.25">
      <c r="C40" s="16" t="s">
        <v>23</v>
      </c>
      <c r="E40" s="51"/>
      <c r="F40" s="94" t="s">
        <v>62</v>
      </c>
      <c r="G40" s="95"/>
      <c r="H40" s="31" t="s">
        <v>65</v>
      </c>
      <c r="I40" s="31"/>
      <c r="J40" s="31"/>
    </row>
    <row r="41" spans="2:10" x14ac:dyDescent="0.25">
      <c r="C41" s="16"/>
      <c r="F41" s="45"/>
      <c r="G41" s="45"/>
    </row>
    <row r="42" spans="2:10" x14ac:dyDescent="0.25">
      <c r="C42" s="16"/>
      <c r="F42" s="45"/>
      <c r="G42" s="45"/>
    </row>
    <row r="43" spans="2:10" ht="9" customHeight="1" x14ac:dyDescent="0.25">
      <c r="I43" s="98" t="s">
        <v>60</v>
      </c>
      <c r="J43" s="98"/>
    </row>
    <row r="44" spans="2:10" ht="18" customHeight="1" x14ac:dyDescent="0.25">
      <c r="B44" s="62" t="s">
        <v>31</v>
      </c>
      <c r="C44" s="63"/>
      <c r="D44" s="64"/>
      <c r="E44" s="31"/>
      <c r="F44" s="31"/>
      <c r="G44" s="31"/>
      <c r="I44" s="97" t="s">
        <v>56</v>
      </c>
      <c r="J44" s="97"/>
    </row>
    <row r="45" spans="2:10" ht="5.25" customHeight="1" x14ac:dyDescent="0.25">
      <c r="I45" s="99"/>
      <c r="J45" s="100"/>
    </row>
    <row r="46" spans="2:10" ht="15" customHeight="1" x14ac:dyDescent="0.25">
      <c r="B46" s="62" t="s">
        <v>63</v>
      </c>
      <c r="C46" s="63"/>
      <c r="D46" s="64"/>
      <c r="F46" s="96"/>
      <c r="G46" s="96"/>
      <c r="I46" s="101"/>
      <c r="J46" s="102"/>
    </row>
    <row r="47" spans="2:10" ht="3.75" customHeight="1" x14ac:dyDescent="0.25">
      <c r="I47" s="101"/>
      <c r="J47" s="102"/>
    </row>
    <row r="48" spans="2:10" ht="15.75" customHeight="1" x14ac:dyDescent="0.25">
      <c r="B48" s="18" t="s">
        <v>40</v>
      </c>
      <c r="C48" s="19"/>
      <c r="D48" s="20"/>
      <c r="E48" s="22"/>
      <c r="F48" s="96"/>
      <c r="G48" s="96"/>
      <c r="I48" s="101"/>
      <c r="J48" s="102"/>
    </row>
    <row r="49" spans="2:10" ht="5.25" customHeight="1" x14ac:dyDescent="0.25">
      <c r="B49" s="33"/>
      <c r="C49" s="33"/>
      <c r="D49" s="33"/>
      <c r="I49" s="101"/>
      <c r="J49" s="102"/>
    </row>
    <row r="50" spans="2:10" ht="15.75" customHeight="1" x14ac:dyDescent="0.25">
      <c r="B50" s="65" t="s">
        <v>10</v>
      </c>
      <c r="C50" s="66"/>
      <c r="D50" s="67"/>
      <c r="F50" s="96"/>
      <c r="G50" s="96"/>
      <c r="I50" s="101"/>
      <c r="J50" s="102"/>
    </row>
    <row r="51" spans="2:10" ht="9" customHeight="1" x14ac:dyDescent="0.25">
      <c r="B51" s="46"/>
      <c r="C51" s="46"/>
      <c r="D51" s="46"/>
      <c r="I51" s="101"/>
      <c r="J51" s="102"/>
    </row>
    <row r="52" spans="2:10" ht="9" customHeight="1" x14ac:dyDescent="0.25">
      <c r="I52" s="43"/>
      <c r="J52" s="43"/>
    </row>
    <row r="53" spans="2:10" ht="9" customHeight="1" x14ac:dyDescent="0.25">
      <c r="B53" s="34"/>
      <c r="C53" s="34"/>
      <c r="D53" s="34"/>
      <c r="I53" s="44"/>
      <c r="J53" s="44"/>
    </row>
    <row r="54" spans="2:10" ht="22.5" customHeight="1" x14ac:dyDescent="0.25">
      <c r="B54" s="58" t="s">
        <v>43</v>
      </c>
      <c r="C54" s="59"/>
      <c r="D54" s="60"/>
      <c r="F54" s="14" t="s">
        <v>19</v>
      </c>
      <c r="G54" s="25" t="s">
        <v>49</v>
      </c>
      <c r="H54" s="14" t="s">
        <v>20</v>
      </c>
      <c r="I54" s="47" t="s">
        <v>50</v>
      </c>
      <c r="J54" s="48" t="s">
        <v>57</v>
      </c>
    </row>
    <row r="55" spans="2:10" ht="11.25" customHeight="1" x14ac:dyDescent="0.25">
      <c r="H55" s="4"/>
      <c r="I55" s="53" t="s">
        <v>60</v>
      </c>
      <c r="J55" s="53"/>
    </row>
    <row r="56" spans="2:10" x14ac:dyDescent="0.25">
      <c r="C56" s="16" t="s">
        <v>35</v>
      </c>
      <c r="F56" s="1"/>
      <c r="G56" s="1"/>
      <c r="H56" s="27">
        <f>+F56*G56</f>
        <v>0</v>
      </c>
      <c r="I56" s="27"/>
      <c r="J56" s="35"/>
    </row>
    <row r="57" spans="2:10" x14ac:dyDescent="0.25">
      <c r="C57" s="16" t="s">
        <v>18</v>
      </c>
      <c r="D57" s="106" t="s">
        <v>67</v>
      </c>
      <c r="F57" s="1"/>
      <c r="G57" s="1"/>
      <c r="H57" s="27">
        <f t="shared" ref="H57:H68" si="0">+F57*G57</f>
        <v>0</v>
      </c>
      <c r="I57" s="27"/>
      <c r="J57" s="35"/>
    </row>
    <row r="58" spans="2:10" x14ac:dyDescent="0.25">
      <c r="C58" s="16" t="s">
        <v>13</v>
      </c>
      <c r="F58" s="1"/>
      <c r="G58" s="1"/>
      <c r="H58" s="27">
        <f t="shared" si="0"/>
        <v>0</v>
      </c>
      <c r="I58" s="27"/>
      <c r="J58" s="35"/>
    </row>
    <row r="59" spans="2:10" x14ac:dyDescent="0.25">
      <c r="D59" s="23" t="s">
        <v>14</v>
      </c>
      <c r="F59" s="1"/>
      <c r="G59" s="1"/>
      <c r="H59" s="27">
        <f t="shared" si="0"/>
        <v>0</v>
      </c>
      <c r="I59" s="27"/>
      <c r="J59" s="35"/>
    </row>
    <row r="60" spans="2:10" x14ac:dyDescent="0.25">
      <c r="D60" s="23" t="s">
        <v>15</v>
      </c>
      <c r="F60" s="1"/>
      <c r="G60" s="1"/>
      <c r="H60" s="27">
        <f t="shared" si="0"/>
        <v>0</v>
      </c>
      <c r="I60" s="27"/>
      <c r="J60" s="35"/>
    </row>
    <row r="61" spans="2:10" x14ac:dyDescent="0.25">
      <c r="D61" s="23" t="s">
        <v>42</v>
      </c>
      <c r="F61" s="1"/>
      <c r="G61" s="1"/>
      <c r="H61" s="27">
        <f t="shared" si="0"/>
        <v>0</v>
      </c>
      <c r="I61" s="27"/>
      <c r="J61" s="35"/>
    </row>
    <row r="62" spans="2:10" x14ac:dyDescent="0.25">
      <c r="D62" s="23" t="s">
        <v>16</v>
      </c>
      <c r="F62" s="1"/>
      <c r="G62" s="1"/>
      <c r="H62" s="27">
        <f t="shared" si="0"/>
        <v>0</v>
      </c>
      <c r="I62" s="27"/>
      <c r="J62" s="35"/>
    </row>
    <row r="63" spans="2:10" x14ac:dyDescent="0.25">
      <c r="D63" s="23" t="s">
        <v>29</v>
      </c>
      <c r="F63" s="1"/>
      <c r="G63" s="1"/>
      <c r="H63" s="27">
        <f t="shared" si="0"/>
        <v>0</v>
      </c>
      <c r="I63" s="27"/>
      <c r="J63" s="35"/>
    </row>
    <row r="64" spans="2:10" x14ac:dyDescent="0.25">
      <c r="D64" s="24" t="s">
        <v>32</v>
      </c>
      <c r="E64" s="17"/>
      <c r="F64" s="1"/>
      <c r="G64" s="1"/>
      <c r="H64" s="27">
        <f t="shared" si="0"/>
        <v>0</v>
      </c>
      <c r="I64" s="27"/>
      <c r="J64" s="35"/>
    </row>
    <row r="65" spans="3:10" x14ac:dyDescent="0.25">
      <c r="D65" s="23" t="s">
        <v>30</v>
      </c>
      <c r="F65" s="1"/>
      <c r="G65" s="1"/>
      <c r="H65" s="27">
        <f t="shared" si="0"/>
        <v>0</v>
      </c>
      <c r="I65" s="27"/>
      <c r="J65" s="35"/>
    </row>
    <row r="66" spans="3:10" x14ac:dyDescent="0.25">
      <c r="C66" s="16" t="s">
        <v>17</v>
      </c>
      <c r="D66" s="23" t="s">
        <v>33</v>
      </c>
      <c r="F66" s="30"/>
      <c r="G66" s="1"/>
      <c r="H66" s="27">
        <f t="shared" si="0"/>
        <v>0</v>
      </c>
      <c r="I66" s="27"/>
      <c r="J66" s="35"/>
    </row>
    <row r="67" spans="3:10" x14ac:dyDescent="0.25">
      <c r="C67" s="16" t="s">
        <v>34</v>
      </c>
      <c r="D67" s="31"/>
      <c r="E67" s="31"/>
      <c r="F67" s="1"/>
      <c r="G67" s="32"/>
      <c r="H67" s="27">
        <f t="shared" si="0"/>
        <v>0</v>
      </c>
      <c r="I67" s="27"/>
      <c r="J67" s="35"/>
    </row>
    <row r="68" spans="3:10" x14ac:dyDescent="0.25">
      <c r="C68" s="16" t="s">
        <v>55</v>
      </c>
      <c r="D68" s="107" t="s">
        <v>66</v>
      </c>
      <c r="E68" s="31"/>
      <c r="F68" s="1"/>
      <c r="G68" s="32"/>
      <c r="H68" s="27">
        <f t="shared" si="0"/>
        <v>0</v>
      </c>
      <c r="I68" s="27"/>
      <c r="J68" s="35"/>
    </row>
    <row r="69" spans="3:10" ht="21" customHeight="1" x14ac:dyDescent="0.25">
      <c r="G69" s="13" t="s">
        <v>20</v>
      </c>
      <c r="H69" s="52">
        <f>SUM(H56:H68)</f>
        <v>0</v>
      </c>
      <c r="I69" s="26">
        <f>SUM(I56:I68)</f>
        <v>0</v>
      </c>
      <c r="J69" s="3">
        <f>COUNTA(J56:J68)</f>
        <v>0</v>
      </c>
    </row>
    <row r="70" spans="3:10" ht="8.25" customHeight="1" x14ac:dyDescent="0.25"/>
    <row r="72" spans="3:10" ht="21" customHeight="1" x14ac:dyDescent="0.25"/>
  </sheetData>
  <mergeCells count="28">
    <mergeCell ref="H18:J21"/>
    <mergeCell ref="F40:G40"/>
    <mergeCell ref="F46:G46"/>
    <mergeCell ref="F48:G48"/>
    <mergeCell ref="F50:G50"/>
    <mergeCell ref="I44:J44"/>
    <mergeCell ref="I43:J43"/>
    <mergeCell ref="I45:J51"/>
    <mergeCell ref="E20:G20"/>
    <mergeCell ref="D1:I3"/>
    <mergeCell ref="D4:I5"/>
    <mergeCell ref="D6:I6"/>
    <mergeCell ref="C13:J13"/>
    <mergeCell ref="C14:J14"/>
    <mergeCell ref="B10:C10"/>
    <mergeCell ref="B11:C11"/>
    <mergeCell ref="D8:E8"/>
    <mergeCell ref="D9:E9"/>
    <mergeCell ref="B8:C8"/>
    <mergeCell ref="B9:C9"/>
    <mergeCell ref="B54:D54"/>
    <mergeCell ref="B17:D17"/>
    <mergeCell ref="B20:D20"/>
    <mergeCell ref="B22:D22"/>
    <mergeCell ref="B37:D37"/>
    <mergeCell ref="B44:D44"/>
    <mergeCell ref="B46:D46"/>
    <mergeCell ref="B50:D50"/>
  </mergeCells>
  <pageMargins left="0.19685039370078741" right="0" top="0" bottom="0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 La maison bleue</dc:creator>
  <cp:lastModifiedBy>GEM La maison bleue</cp:lastModifiedBy>
  <cp:lastPrinted>2026-04-24T09:51:59Z</cp:lastPrinted>
  <dcterms:created xsi:type="dcterms:W3CDTF">2026-03-13T12:22:56Z</dcterms:created>
  <dcterms:modified xsi:type="dcterms:W3CDTF">2026-06-05T12:59:21Z</dcterms:modified>
</cp:coreProperties>
</file>